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paulina.reis\Desktop\ANALISE PROCESSOS NÃO RECORRENTES\"/>
    </mc:Choice>
  </mc:AlternateContent>
  <xr:revisionPtr revIDLastSave="0" documentId="13_ncr:1_{92FAF06B-E027-45FF-BA6B-09EDDEF81037}" xr6:coauthVersionLast="47" xr6:coauthVersionMax="47" xr10:uidLastSave="{00000000-0000-0000-0000-000000000000}"/>
  <bookViews>
    <workbookView xWindow="1035" yWindow="1545" windowWidth="25170" windowHeight="13845" xr2:uid="{00000000-000D-0000-FFFF-FFFF00000000}"/>
  </bookViews>
  <sheets>
    <sheet name="Analise" sheetId="1" r:id="rId1"/>
    <sheet name="Criter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8" i="1"/>
  <c r="Q12" i="1"/>
  <c r="Q11" i="1"/>
  <c r="Q10" i="1"/>
  <c r="Q9" i="1"/>
  <c r="Q8" i="1"/>
  <c r="O8" i="1"/>
  <c r="O12" i="1"/>
  <c r="O11" i="1"/>
  <c r="O10" i="1"/>
  <c r="O9" i="1"/>
  <c r="Q7" i="1"/>
  <c r="N7" i="1"/>
  <c r="O7" i="1"/>
  <c r="M7" i="1"/>
  <c r="L7" i="1"/>
  <c r="E12" i="1"/>
  <c r="E11" i="1"/>
  <c r="E10" i="1"/>
  <c r="E9" i="1"/>
  <c r="E8" i="1"/>
  <c r="E7" i="1"/>
  <c r="L12" i="1"/>
  <c r="L11" i="1"/>
  <c r="L10" i="1"/>
  <c r="L9" i="1"/>
  <c r="L8" i="1"/>
  <c r="M12" i="1"/>
  <c r="M11" i="1"/>
  <c r="M10" i="1"/>
  <c r="M9" i="1"/>
  <c r="M8" i="1"/>
  <c r="N12" i="1"/>
  <c r="N11" i="1"/>
  <c r="N10" i="1"/>
  <c r="N9" i="1"/>
  <c r="N8" i="1"/>
  <c r="P7" i="1" l="1"/>
  <c r="R7" i="1" s="1"/>
  <c r="P11" i="1"/>
  <c r="P9" i="1"/>
  <c r="P8" i="1"/>
  <c r="P10" i="1"/>
  <c r="P1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<sst xmlns="http://schemas.openxmlformats.org/spreadsheetml/2006/main" count="84" uniqueCount="56">
  <si>
    <t>Analise comparativa | Processo não recorrente</t>
  </si>
  <si>
    <t>PROCESSO Nº</t>
  </si>
  <si>
    <t>Fornecedor</t>
  </si>
  <si>
    <t>Preço</t>
  </si>
  <si>
    <t>Transporte</t>
  </si>
  <si>
    <t>Validade Proposta</t>
  </si>
  <si>
    <t>Pontuação Outros</t>
  </si>
  <si>
    <t>Preço Total</t>
  </si>
  <si>
    <t>Prazo Entrega (dias)</t>
  </si>
  <si>
    <t>Pagamento</t>
  </si>
  <si>
    <t>Garantia</t>
  </si>
  <si>
    <t>Certificado do Produto</t>
  </si>
  <si>
    <t>Certificado Empresa</t>
  </si>
  <si>
    <t>Prazo</t>
  </si>
  <si>
    <t>Certificados</t>
  </si>
  <si>
    <t>Pont. Outros</t>
  </si>
  <si>
    <t xml:space="preserve">Pont. Preço </t>
  </si>
  <si>
    <t>Score Final</t>
  </si>
  <si>
    <t>A</t>
  </si>
  <si>
    <t>90 dias</t>
  </si>
  <si>
    <t>3 anos</t>
  </si>
  <si>
    <t>Sim</t>
  </si>
  <si>
    <t>B</t>
  </si>
  <si>
    <t>PP</t>
  </si>
  <si>
    <t>Não</t>
  </si>
  <si>
    <t>C</t>
  </si>
  <si>
    <t>30 dias</t>
  </si>
  <si>
    <t>D</t>
  </si>
  <si>
    <t>60 dias</t>
  </si>
  <si>
    <t>E</t>
  </si>
  <si>
    <t>F</t>
  </si>
  <si>
    <t>RESUMO EXPLICATIVO – Análise Comparativa | Processo Não Recorrente</t>
  </si>
  <si>
    <t>✅ 1. Estrutura Geral | Pontos de avaliação</t>
  </si>
  <si>
    <t>Prazo de entrega</t>
  </si>
  <si>
    <t>Condições de pagamento</t>
  </si>
  <si>
    <t>Custos de transporte</t>
  </si>
  <si>
    <t>Certificação do produto</t>
  </si>
  <si>
    <t>Certificação da empresa</t>
  </si>
  <si>
    <t>Validade da proposta</t>
  </si>
  <si>
    <t>Pontuação ponderada por critério</t>
  </si>
  <si>
    <t>✅ 2. Critérios Avaliados</t>
  </si>
  <si>
    <t>Corresponde ao custo final incluindo transporte.</t>
  </si>
  <si>
    <r>
      <t xml:space="preserve">O preço afeta a </t>
    </r>
    <r>
      <rPr>
        <b/>
        <sz val="11"/>
        <color theme="1"/>
        <rFont val="Aptos Light"/>
        <family val="2"/>
      </rPr>
      <t>Pontuação Preço</t>
    </r>
    <r>
      <rPr>
        <sz val="11"/>
        <color theme="1"/>
        <rFont val="Aptos Light"/>
        <family val="2"/>
      </rPr>
      <t>, onde o mais barato recebe a maior pontuação</t>
    </r>
  </si>
  <si>
    <r>
      <t>Este critério tem o peso de</t>
    </r>
    <r>
      <rPr>
        <b/>
        <sz val="11"/>
        <color theme="1"/>
        <rFont val="Aptos Light"/>
        <family val="2"/>
      </rPr>
      <t xml:space="preserve"> 90%</t>
    </r>
  </si>
  <si>
    <t>Prazo de Entrega</t>
  </si>
  <si>
    <t>Número de dias previstos para entrega.</t>
  </si>
  <si>
    <t>O prazo de entrega com menor tempo tem melhor pontuação</t>
  </si>
  <si>
    <t>Condições de Pagamento</t>
  </si>
  <si>
    <t>6 meses</t>
  </si>
  <si>
    <t>1 ano</t>
  </si>
  <si>
    <t>2 anos</t>
  </si>
  <si>
    <t>Outras Condições (Prazo de Entrega / Condições de Pagamento / Garantia)</t>
  </si>
  <si>
    <r>
      <t xml:space="preserve">Os critérios Prazo de entrega / Condições de pagamento / garantia têm o peso de </t>
    </r>
    <r>
      <rPr>
        <b/>
        <sz val="11"/>
        <color theme="1"/>
        <rFont val="Aptos Light"/>
        <family val="2"/>
      </rPr>
      <t>10%</t>
    </r>
  </si>
  <si>
    <t>Certificações</t>
  </si>
  <si>
    <t>✅ 3. Pontuações e Score Final</t>
  </si>
  <si>
    <t>Calcula a pontuação do preço total (90%) + Outras Condições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</si>
</sst>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816]_-;\-* #,##0.00\ [$€-816]_-;_-* &quot;-&quot;??\ [$€-816]_-;_-@_-"/>
    <numFmt numFmtId="165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Light"/>
      <family val="2"/>
    </font>
    <font>
      <sz val="11"/>
      <color theme="1"/>
      <name val="Aptos Light"/>
      <family val="2"/>
    </font>
    <font>
      <sz val="10"/>
      <color theme="1"/>
      <name val="Aptos Light"/>
      <family val="2"/>
    </font>
    <font>
      <b/>
      <sz val="10"/>
      <color theme="1"/>
      <name val="Aptos Light"/>
      <family val="2"/>
    </font>
    <font>
      <b/>
      <sz val="12"/>
      <color theme="1"/>
      <name val="Aptos Light"/>
      <family val="2"/>
    </font>
    <font>
      <b/>
      <sz val="14"/>
      <color theme="8"/>
      <name val="Aptos Light"/>
      <family val="2"/>
    </font>
    <font>
      <b/>
      <sz val="13"/>
      <color theme="8"/>
      <name val="Aptos Light"/>
      <family val="2"/>
    </font>
    <font>
      <b/>
      <i/>
      <sz val="11"/>
      <color theme="1"/>
      <name val="Aptos Light"/>
      <family val="2"/>
    </font>
    <font>
      <b/>
      <sz val="14"/>
      <color theme="1"/>
      <name val="Aptos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4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164" fontId="4" fillId="2" borderId="7" xfId="0" applyNumberFormat="1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9" fontId="3" fillId="0" borderId="0" xfId="0" applyNumberFormat="1" applyFont="1"/>
    <xf numFmtId="0" fontId="6" fillId="0" borderId="0" xfId="0" applyFont="1" applyAlignment="1">
      <alignment vertical="center"/>
    </xf>
    <xf numFmtId="164" fontId="5" fillId="2" borderId="0" xfId="0" applyNumberFormat="1" applyFont="1" applyFill="1" applyAlignment="1">
      <alignment vertical="center" wrapText="1"/>
    </xf>
    <xf numFmtId="164" fontId="5" fillId="2" borderId="7" xfId="0" applyNumberFormat="1" applyFont="1" applyFill="1" applyBorder="1" applyAlignment="1">
      <alignment vertical="center" wrapText="1"/>
    </xf>
    <xf numFmtId="10" fontId="4" fillId="3" borderId="0" xfId="0" applyNumberFormat="1" applyFont="1" applyFill="1" applyAlignment="1">
      <alignment vertical="center" wrapText="1"/>
    </xf>
    <xf numFmtId="0" fontId="5" fillId="2" borderId="19" xfId="0" applyFont="1" applyFill="1" applyBorder="1" applyAlignment="1">
      <alignment horizontal="center" vertical="center" wrapText="1"/>
    </xf>
    <xf numFmtId="10" fontId="4" fillId="3" borderId="0" xfId="1" applyNumberFormat="1" applyFont="1" applyFill="1" applyBorder="1" applyAlignment="1">
      <alignment vertical="center" wrapText="1"/>
    </xf>
    <xf numFmtId="165" fontId="4" fillId="3" borderId="7" xfId="1" applyNumberFormat="1" applyFont="1" applyFill="1" applyBorder="1" applyAlignment="1">
      <alignment vertical="center" wrapText="1"/>
    </xf>
    <xf numFmtId="10" fontId="4" fillId="3" borderId="4" xfId="0" applyNumberFormat="1" applyFont="1" applyFill="1" applyBorder="1" applyAlignment="1">
      <alignment vertical="center" wrapText="1"/>
    </xf>
    <xf numFmtId="165" fontId="4" fillId="3" borderId="6" xfId="0" applyNumberFormat="1" applyFont="1" applyFill="1" applyBorder="1" applyAlignment="1">
      <alignment vertical="center" wrapText="1"/>
    </xf>
    <xf numFmtId="10" fontId="4" fillId="3" borderId="24" xfId="0" applyNumberFormat="1" applyFont="1" applyFill="1" applyBorder="1" applyAlignment="1">
      <alignment vertical="center" wrapText="1"/>
    </xf>
    <xf numFmtId="10" fontId="4" fillId="3" borderId="25" xfId="0" applyNumberFormat="1" applyFont="1" applyFill="1" applyBorder="1" applyAlignment="1">
      <alignment vertical="center" wrapText="1"/>
    </xf>
    <xf numFmtId="10" fontId="5" fillId="3" borderId="26" xfId="0" applyNumberFormat="1" applyFont="1" applyFill="1" applyBorder="1" applyAlignment="1">
      <alignment vertical="center" wrapText="1"/>
    </xf>
    <xf numFmtId="165" fontId="4" fillId="3" borderId="27" xfId="0" applyNumberFormat="1" applyFont="1" applyFill="1" applyBorder="1" applyAlignment="1">
      <alignment vertical="center" wrapText="1"/>
    </xf>
    <xf numFmtId="165" fontId="4" fillId="3" borderId="19" xfId="0" applyNumberFormat="1" applyFont="1" applyFill="1" applyBorder="1" applyAlignment="1">
      <alignment vertical="center" wrapText="1"/>
    </xf>
    <xf numFmtId="165" fontId="5" fillId="3" borderId="21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9" fontId="3" fillId="3" borderId="18" xfId="0" applyNumberFormat="1" applyFont="1" applyFill="1" applyBorder="1" applyAlignment="1">
      <alignment horizontal="center" vertical="center"/>
    </xf>
    <xf numFmtId="9" fontId="3" fillId="3" borderId="16" xfId="0" applyNumberFormat="1" applyFont="1" applyFill="1" applyBorder="1" applyAlignment="1">
      <alignment horizontal="center" vertical="center"/>
    </xf>
    <xf numFmtId="9" fontId="3" fillId="3" borderId="17" xfId="0" applyNumberFormat="1" applyFont="1" applyFill="1" applyBorder="1" applyAlignment="1">
      <alignment horizontal="center" vertical="center"/>
    </xf>
    <xf numFmtId="9" fontId="4" fillId="2" borderId="29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vertical="center" wrapText="1"/>
    </xf>
    <xf numFmtId="14" fontId="4" fillId="2" borderId="8" xfId="0" applyNumberFormat="1" applyFont="1" applyFill="1" applyBorder="1" applyAlignment="1">
      <alignment vertical="center" wrapText="1"/>
    </xf>
    <xf numFmtId="10" fontId="4" fillId="2" borderId="29" xfId="1" applyNumberFormat="1" applyFont="1" applyFill="1" applyBorder="1" applyAlignment="1">
      <alignment vertical="center" wrapText="1"/>
    </xf>
    <xf numFmtId="10" fontId="4" fillId="2" borderId="16" xfId="0" applyNumberFormat="1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 wrapText="1"/>
    </xf>
    <xf numFmtId="10" fontId="4" fillId="2" borderId="30" xfId="1" applyNumberFormat="1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6">
    <dxf>
      <fill>
        <patternFill patternType="solid">
          <fgColor rgb="FFA7F3A4"/>
        </patternFill>
      </fill>
    </dxf>
    <dxf>
      <fill>
        <patternFill>
          <bgColor rgb="FF92D050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4"/>
  <sheetViews>
    <sheetView showGridLines="0" tabSelected="1" topLeftCell="B1" workbookViewId="0">
      <selection activeCell="S7" sqref="S7"/>
    </sheetView>
  </sheetViews>
  <sheetFormatPr defaultRowHeight="15"/>
  <cols>
    <col min="1" max="1" width="1.140625" customWidth="1"/>
    <col min="2" max="2" width="40.140625" customWidth="1"/>
    <col min="3" max="4" width="12.7109375" customWidth="1"/>
    <col min="5" max="5" width="13.42578125" customWidth="1"/>
    <col min="6" max="8" width="11.7109375" style="1" customWidth="1"/>
    <col min="9" max="11" width="11.7109375" customWidth="1"/>
    <col min="12" max="12" width="10.85546875" customWidth="1"/>
    <col min="13" max="18" width="11" customWidth="1"/>
  </cols>
  <sheetData>
    <row r="2" spans="2:18" ht="15.75" thickBot="1"/>
    <row r="3" spans="2:18" ht="37.5" customHeight="1">
      <c r="B3" s="52" t="e" vm="1">
        <v>#VALUE!</v>
      </c>
      <c r="C3" s="63" t="s"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</row>
    <row r="4" spans="2:18" ht="37.5" customHeight="1" thickBot="1">
      <c r="B4" s="53"/>
      <c r="C4" s="66" t="s">
        <v>1</v>
      </c>
      <c r="D4" s="67"/>
      <c r="E4" s="67"/>
      <c r="F4" s="67"/>
      <c r="G4" s="67"/>
      <c r="H4" s="67"/>
      <c r="I4" s="67"/>
      <c r="J4" s="67"/>
      <c r="K4" s="67"/>
      <c r="L4" s="67"/>
      <c r="M4" s="68"/>
      <c r="N4" s="68"/>
      <c r="O4" s="68"/>
      <c r="P4" s="68"/>
      <c r="Q4" s="68"/>
      <c r="R4" s="69"/>
    </row>
    <row r="5" spans="2:18" ht="17.25" customHeight="1" thickBot="1">
      <c r="B5" s="54" t="s">
        <v>2</v>
      </c>
      <c r="C5" s="59" t="s">
        <v>3</v>
      </c>
      <c r="D5" s="70" t="s">
        <v>4</v>
      </c>
      <c r="E5" s="40">
        <v>0.9</v>
      </c>
      <c r="F5" s="47">
        <v>2.5000000000000001E-2</v>
      </c>
      <c r="G5" s="47">
        <v>2.5000000000000001E-2</v>
      </c>
      <c r="H5" s="47">
        <v>2.5000000000000001E-2</v>
      </c>
      <c r="I5" s="46">
        <v>1.2500000000000001E-2</v>
      </c>
      <c r="J5" s="49">
        <v>1.2500000000000001E-2</v>
      </c>
      <c r="K5" s="61" t="s">
        <v>5</v>
      </c>
      <c r="L5" s="56" t="s">
        <v>6</v>
      </c>
      <c r="M5" s="57"/>
      <c r="N5" s="57"/>
      <c r="O5" s="58"/>
      <c r="P5" s="37">
        <v>0.1</v>
      </c>
      <c r="Q5" s="38">
        <v>0.9</v>
      </c>
      <c r="R5" s="39">
        <v>1</v>
      </c>
    </row>
    <row r="6" spans="2:18" ht="40.5" customHeight="1" thickBot="1">
      <c r="B6" s="55"/>
      <c r="C6" s="60"/>
      <c r="D6" s="71"/>
      <c r="E6" s="10" t="s">
        <v>7</v>
      </c>
      <c r="F6" s="25" t="s">
        <v>8</v>
      </c>
      <c r="G6" s="25" t="s">
        <v>9</v>
      </c>
      <c r="H6" s="25" t="s">
        <v>10</v>
      </c>
      <c r="I6" s="10" t="s">
        <v>11</v>
      </c>
      <c r="J6" s="50" t="s">
        <v>12</v>
      </c>
      <c r="K6" s="62"/>
      <c r="L6" s="41" t="s">
        <v>13</v>
      </c>
      <c r="M6" s="42" t="s">
        <v>9</v>
      </c>
      <c r="N6" s="43" t="s">
        <v>10</v>
      </c>
      <c r="O6" s="48" t="s">
        <v>14</v>
      </c>
      <c r="P6" s="11" t="s">
        <v>15</v>
      </c>
      <c r="Q6" s="12" t="s">
        <v>16</v>
      </c>
      <c r="R6" s="13" t="s">
        <v>17</v>
      </c>
    </row>
    <row r="7" spans="2:18" ht="42" customHeight="1">
      <c r="B7" s="6" t="s">
        <v>18</v>
      </c>
      <c r="C7" s="4">
        <v>12500</v>
      </c>
      <c r="D7" s="4">
        <v>200</v>
      </c>
      <c r="E7" s="22">
        <f>C7+D7</f>
        <v>12700</v>
      </c>
      <c r="F7" s="5">
        <v>1</v>
      </c>
      <c r="G7" s="19" t="s">
        <v>19</v>
      </c>
      <c r="H7" s="5" t="s">
        <v>20</v>
      </c>
      <c r="I7" s="51" t="s">
        <v>21</v>
      </c>
      <c r="J7" s="51" t="s">
        <v>21</v>
      </c>
      <c r="K7" s="44"/>
      <c r="L7" s="28">
        <f>MIN($F$7:$F$14)/F7</f>
        <v>1</v>
      </c>
      <c r="M7" s="26">
        <f>IF(ISNUMBER(SEARCH("PP",G7)),0,IF(ISNUMBER(SEARCH("30 dias",G7)),0.5,IF(ISNUMBER(SEARCH("60 dias",G7)),0.8,IF(ISNUMBER(SEARCH("90 dias",G7)),1))))</f>
        <v>1</v>
      </c>
      <c r="N7" s="24">
        <f>IF(LEFT(H7,1)="6",0.5,IF(LEFT(H7,1)="1",0.7,IF(LEFT(H7,1)="2",0.9,1)))</f>
        <v>1</v>
      </c>
      <c r="O7" s="24">
        <f>(IF(I7="Sim",1,0)+IF(J7="Sim",1,0))/2</f>
        <v>1</v>
      </c>
      <c r="P7" s="30">
        <f>(L7+M7+N7+O7)/4</f>
        <v>1</v>
      </c>
      <c r="Q7" s="31">
        <f>MIN($E$7:$E$14)/E7</f>
        <v>0.95669291338582674</v>
      </c>
      <c r="R7" s="32">
        <f>((Q7*$E$5) + P7*($F$5+$G$5+$H$5+$I$5+$J$5))</f>
        <v>0.96102362204724401</v>
      </c>
    </row>
    <row r="8" spans="2:18" ht="42" customHeight="1">
      <c r="B8" s="2" t="s">
        <v>22</v>
      </c>
      <c r="C8" s="4">
        <v>11800</v>
      </c>
      <c r="D8" s="4">
        <v>350</v>
      </c>
      <c r="E8" s="22">
        <f t="shared" ref="E8:E12" si="0">C8+D8</f>
        <v>12150</v>
      </c>
      <c r="F8" s="5">
        <v>1</v>
      </c>
      <c r="G8" s="19" t="s">
        <v>23</v>
      </c>
      <c r="H8" s="5" t="s">
        <v>20</v>
      </c>
      <c r="I8" s="51" t="s">
        <v>24</v>
      </c>
      <c r="J8" s="51" t="s">
        <v>24</v>
      </c>
      <c r="K8" s="44"/>
      <c r="L8" s="28">
        <f t="shared" ref="L8:L12" si="1">MIN($F$7:$F$14)/F8</f>
        <v>1</v>
      </c>
      <c r="M8" s="26">
        <f t="shared" ref="M8:M12" si="2">IF(ISNUMBER(SEARCH("PP",G8)),0,IF(ISNUMBER(SEARCH("30 dias",G8)),0.5,IF(ISNUMBER(SEARCH("60 dias",G8)),0.8,IF(ISNUMBER(SEARCH("90 dias",G8)),1))))</f>
        <v>0</v>
      </c>
      <c r="N8" s="24">
        <f t="shared" ref="N8:N12" si="3">IF(LEFT(H8,1)="6",0.5,IF(LEFT(H8,1)="1",0.7,IF(LEFT(H8,1)="2",0.9,1)))</f>
        <v>1</v>
      </c>
      <c r="O8" s="24">
        <f>(IF(I8="Sim",1,0)+IF(J8="Sim",1,0))/2</f>
        <v>0</v>
      </c>
      <c r="P8" s="30">
        <f t="shared" ref="P8:P12" si="4">(L8+M8/100+N8)/3</f>
        <v>0.66666666666666663</v>
      </c>
      <c r="Q8" s="31">
        <f t="shared" ref="Q8:Q12" si="5">MIN($E$7:$E$14)/E8</f>
        <v>1</v>
      </c>
      <c r="R8" s="32">
        <f t="shared" ref="R8:R12" si="6">((Q8*$E$5) + P8*($F$5+$G$5+$H$5+$I$5+$J$5))</f>
        <v>0.96666666666666667</v>
      </c>
    </row>
    <row r="9" spans="2:18" ht="42" customHeight="1">
      <c r="B9" s="2" t="s">
        <v>25</v>
      </c>
      <c r="C9" s="4">
        <v>13200</v>
      </c>
      <c r="D9" s="4">
        <v>0</v>
      </c>
      <c r="E9" s="22">
        <f t="shared" si="0"/>
        <v>13200</v>
      </c>
      <c r="F9" s="5">
        <v>10</v>
      </c>
      <c r="G9" s="19" t="s">
        <v>26</v>
      </c>
      <c r="H9" s="5" t="s">
        <v>20</v>
      </c>
      <c r="I9" s="51" t="s">
        <v>21</v>
      </c>
      <c r="J9" s="51" t="s">
        <v>21</v>
      </c>
      <c r="K9" s="44"/>
      <c r="L9" s="28">
        <f t="shared" si="1"/>
        <v>0.1</v>
      </c>
      <c r="M9" s="26">
        <f t="shared" si="2"/>
        <v>0.5</v>
      </c>
      <c r="N9" s="24">
        <f t="shared" si="3"/>
        <v>1</v>
      </c>
      <c r="O9" s="24">
        <f t="shared" ref="O8:O12" si="7">(IF(I9="Sim",1,0)+IF(J9="Sim",1,0))/2</f>
        <v>1</v>
      </c>
      <c r="P9" s="30">
        <f t="shared" si="4"/>
        <v>0.36833333333333335</v>
      </c>
      <c r="Q9" s="31">
        <f t="shared" si="5"/>
        <v>0.92045454545454541</v>
      </c>
      <c r="R9" s="32">
        <f t="shared" si="6"/>
        <v>0.86524242424242426</v>
      </c>
    </row>
    <row r="10" spans="2:18" ht="42" customHeight="1">
      <c r="B10" s="2" t="s">
        <v>27</v>
      </c>
      <c r="C10" s="4">
        <v>14000</v>
      </c>
      <c r="D10" s="4">
        <v>150</v>
      </c>
      <c r="E10" s="22">
        <f t="shared" si="0"/>
        <v>14150</v>
      </c>
      <c r="F10" s="5">
        <v>12</v>
      </c>
      <c r="G10" s="19" t="s">
        <v>28</v>
      </c>
      <c r="H10" s="5" t="s">
        <v>20</v>
      </c>
      <c r="I10" s="51"/>
      <c r="J10" s="51"/>
      <c r="K10" s="44"/>
      <c r="L10" s="28">
        <f t="shared" si="1"/>
        <v>8.3333333333333329E-2</v>
      </c>
      <c r="M10" s="26">
        <f t="shared" si="2"/>
        <v>0.8</v>
      </c>
      <c r="N10" s="24">
        <f t="shared" si="3"/>
        <v>1</v>
      </c>
      <c r="O10" s="24">
        <f t="shared" si="7"/>
        <v>0</v>
      </c>
      <c r="P10" s="30">
        <f t="shared" si="4"/>
        <v>0.36377777777777776</v>
      </c>
      <c r="Q10" s="31">
        <f t="shared" si="5"/>
        <v>0.85865724381625441</v>
      </c>
      <c r="R10" s="32">
        <f t="shared" si="6"/>
        <v>0.80916929721240671</v>
      </c>
    </row>
    <row r="11" spans="2:18" ht="42" customHeight="1">
      <c r="B11" s="2" t="s">
        <v>29</v>
      </c>
      <c r="C11" s="4">
        <v>11950</v>
      </c>
      <c r="D11" s="4">
        <v>220</v>
      </c>
      <c r="E11" s="22">
        <f t="shared" si="0"/>
        <v>12170</v>
      </c>
      <c r="F11" s="5">
        <v>18</v>
      </c>
      <c r="G11" s="19" t="s">
        <v>19</v>
      </c>
      <c r="H11" s="5" t="s">
        <v>20</v>
      </c>
      <c r="I11" s="51"/>
      <c r="J11" s="51"/>
      <c r="K11" s="44"/>
      <c r="L11" s="28">
        <f t="shared" si="1"/>
        <v>5.5555555555555552E-2</v>
      </c>
      <c r="M11" s="26">
        <f t="shared" si="2"/>
        <v>1</v>
      </c>
      <c r="N11" s="24">
        <f t="shared" si="3"/>
        <v>1</v>
      </c>
      <c r="O11" s="24">
        <f t="shared" si="7"/>
        <v>0</v>
      </c>
      <c r="P11" s="30">
        <f t="shared" si="4"/>
        <v>0.35518518518518521</v>
      </c>
      <c r="Q11" s="31">
        <f t="shared" si="5"/>
        <v>0.99835661462612979</v>
      </c>
      <c r="R11" s="32">
        <f t="shared" si="6"/>
        <v>0.93403947168203538</v>
      </c>
    </row>
    <row r="12" spans="2:18" ht="42" customHeight="1">
      <c r="B12" s="2" t="s">
        <v>30</v>
      </c>
      <c r="C12" s="4">
        <v>12800</v>
      </c>
      <c r="D12" s="4">
        <v>100</v>
      </c>
      <c r="E12" s="22">
        <f t="shared" si="0"/>
        <v>12900</v>
      </c>
      <c r="F12" s="5">
        <v>9</v>
      </c>
      <c r="G12" s="19" t="s">
        <v>23</v>
      </c>
      <c r="H12" s="5" t="s">
        <v>20</v>
      </c>
      <c r="I12" s="51"/>
      <c r="J12" s="51"/>
      <c r="K12" s="44"/>
      <c r="L12" s="28">
        <f t="shared" si="1"/>
        <v>0.1111111111111111</v>
      </c>
      <c r="M12" s="26">
        <f t="shared" si="2"/>
        <v>0</v>
      </c>
      <c r="N12" s="24">
        <f t="shared" si="3"/>
        <v>1</v>
      </c>
      <c r="O12" s="24">
        <f t="shared" si="7"/>
        <v>0</v>
      </c>
      <c r="P12" s="30">
        <f t="shared" si="4"/>
        <v>0.37037037037037041</v>
      </c>
      <c r="Q12" s="31">
        <f t="shared" si="5"/>
        <v>0.94186046511627908</v>
      </c>
      <c r="R12" s="32">
        <f t="shared" si="6"/>
        <v>0.88471145564168829</v>
      </c>
    </row>
    <row r="13" spans="2:18" ht="42" customHeight="1">
      <c r="B13" s="2"/>
      <c r="C13" s="4"/>
      <c r="D13" s="4"/>
      <c r="E13" s="22"/>
      <c r="F13" s="5"/>
      <c r="G13" s="5"/>
      <c r="H13" s="5"/>
      <c r="I13" s="4"/>
      <c r="J13" s="4"/>
      <c r="K13" s="44"/>
      <c r="L13" s="28"/>
      <c r="M13" s="26"/>
      <c r="N13" s="24"/>
      <c r="O13" s="24"/>
      <c r="P13" s="30"/>
      <c r="Q13" s="31"/>
      <c r="R13" s="32"/>
    </row>
    <row r="14" spans="2:18" ht="42" customHeight="1" thickBot="1">
      <c r="B14" s="3"/>
      <c r="C14" s="7"/>
      <c r="D14" s="7"/>
      <c r="E14" s="23"/>
      <c r="F14" s="8"/>
      <c r="G14" s="8"/>
      <c r="H14" s="8"/>
      <c r="I14" s="7"/>
      <c r="J14" s="7"/>
      <c r="K14" s="45"/>
      <c r="L14" s="29"/>
      <c r="M14" s="27"/>
      <c r="N14" s="9"/>
      <c r="O14" s="9"/>
      <c r="P14" s="33"/>
      <c r="Q14" s="34"/>
      <c r="R14" s="35"/>
    </row>
  </sheetData>
  <mergeCells count="8">
    <mergeCell ref="B3:B4"/>
    <mergeCell ref="B5:B6"/>
    <mergeCell ref="L5:O5"/>
    <mergeCell ref="C5:C6"/>
    <mergeCell ref="K5:K6"/>
    <mergeCell ref="C3:R3"/>
    <mergeCell ref="C4:R4"/>
    <mergeCell ref="D5:D6"/>
  </mergeCells>
  <conditionalFormatting sqref="E7:E14">
    <cfRule type="top10" dxfId="5" priority="9" bottom="1" rank="1"/>
    <cfRule type="expression" dxfId="4" priority="10">
      <formula>E7=MIN(#REF!)</formula>
    </cfRule>
  </conditionalFormatting>
  <conditionalFormatting sqref="I7:J14">
    <cfRule type="top10" dxfId="3" priority="7" bottom="1" rank="1"/>
    <cfRule type="expression" dxfId="2" priority="8">
      <formula>I7=MIN(#REF!)</formula>
    </cfRule>
  </conditionalFormatting>
  <conditionalFormatting sqref="R7:R14">
    <cfRule type="top10" dxfId="1" priority="3" rank="1"/>
    <cfRule type="expression" dxfId="0" priority="6">
      <formula>R7=MAX($R$7:$R$14)</formula>
    </cfRule>
  </conditionalFormatting>
  <printOptions verticalCentered="1"/>
  <pageMargins left="0.55118110236220474" right="0.55118110236220474" top="0.39370078740157483" bottom="0.98425196850393704" header="0.51181102362204722" footer="0.51181102362204722"/>
  <pageSetup paperSize="9" scale="6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6F40AD5-B52C-44C8-9020-16402F88961E}">
          <x14:formula1>
            <xm:f>Criterios!#REF!</xm:f>
          </x14:formula1>
          <xm:sqref>G13:G14</xm:sqref>
        </x14:dataValidation>
        <x14:dataValidation type="list" allowBlank="1" showInputMessage="1" showErrorMessage="1" xr:uid="{EF3F8354-598E-46AA-A46C-1994F0F16F8A}">
          <x14:formula1>
            <xm:f>Criterios!$B$37:$B$40</xm:f>
          </x14:formula1>
          <xm:sqref>H7:H14</xm:sqref>
        </x14:dataValidation>
        <x14:dataValidation type="list" allowBlank="1" showInputMessage="1" showErrorMessage="1" xr:uid="{60991B43-D525-492C-863B-D229C5CAE543}">
          <x14:formula1>
            <xm:f>Criterios!$B$31:$B$34</xm:f>
          </x14:formula1>
          <xm:sqref>G7:G12</xm:sqref>
        </x14:dataValidation>
        <x14:dataValidation type="list" allowBlank="1" showInputMessage="1" showErrorMessage="1" xr:uid="{73DB3603-8AE9-41E8-90DC-FF3A35C84FDF}">
          <x14:formula1>
            <xm:f>Criterios!$B$47:$B$48</xm:f>
          </x14:formula1>
          <xm:sqref>I7:I12</xm:sqref>
        </x14:dataValidation>
        <x14:dataValidation type="list" allowBlank="1" showInputMessage="1" showErrorMessage="1" xr:uid="{53D8FD94-7B48-4216-82F2-B80C0BF2CB25}">
          <x14:formula1>
            <xm:f>Criterios!$B$51:$B$52</xm:f>
          </x14:formula1>
          <xm:sqref>J7:J12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B01A-02E2-4198-9A08-48C321AAA037}">
  <dimension ref="B3:C129"/>
  <sheetViews>
    <sheetView topLeftCell="A30" workbookViewId="0">
      <selection activeCell="C47" sqref="C47"/>
    </sheetView>
  </sheetViews>
  <sheetFormatPr defaultRowHeight="15"/>
  <cols>
    <col min="1" max="1" width="3.42578125" customWidth="1"/>
  </cols>
  <sheetData>
    <row r="3" spans="2:2" s="14" customFormat="1">
      <c r="B3" s="18" t="s">
        <v>31</v>
      </c>
    </row>
    <row r="4" spans="2:2" s="14" customFormat="1">
      <c r="B4" s="15"/>
    </row>
    <row r="5" spans="2:2" s="14" customFormat="1">
      <c r="B5" s="15"/>
    </row>
    <row r="6" spans="2:2" s="14" customFormat="1" ht="15.75">
      <c r="B6" s="21" t="s">
        <v>32</v>
      </c>
    </row>
    <row r="7" spans="2:2" s="14" customFormat="1">
      <c r="B7" s="15"/>
    </row>
    <row r="8" spans="2:2" s="14" customFormat="1">
      <c r="B8" s="17" t="s">
        <v>3</v>
      </c>
    </row>
    <row r="9" spans="2:2" s="14" customFormat="1">
      <c r="B9" s="17" t="s">
        <v>33</v>
      </c>
    </row>
    <row r="10" spans="2:2" s="14" customFormat="1">
      <c r="B10" s="17" t="s">
        <v>34</v>
      </c>
    </row>
    <row r="11" spans="2:2" s="14" customFormat="1">
      <c r="B11" s="17" t="s">
        <v>10</v>
      </c>
    </row>
    <row r="12" spans="2:2" s="14" customFormat="1">
      <c r="B12" s="17" t="s">
        <v>35</v>
      </c>
    </row>
    <row r="13" spans="2:2" s="14" customFormat="1">
      <c r="B13" s="17" t="s">
        <v>36</v>
      </c>
    </row>
    <row r="14" spans="2:2" s="14" customFormat="1">
      <c r="B14" s="17" t="s">
        <v>37</v>
      </c>
    </row>
    <row r="15" spans="2:2" s="14" customFormat="1">
      <c r="B15" s="17" t="s">
        <v>38</v>
      </c>
    </row>
    <row r="16" spans="2:2" s="14" customFormat="1">
      <c r="B16" s="17" t="s">
        <v>39</v>
      </c>
    </row>
    <row r="17" spans="2:3" s="14" customFormat="1">
      <c r="B17" s="15"/>
    </row>
    <row r="18" spans="2:3" s="14" customFormat="1">
      <c r="B18" s="15"/>
    </row>
    <row r="19" spans="2:3" s="14" customFormat="1" ht="15.75">
      <c r="B19" s="21" t="s">
        <v>40</v>
      </c>
    </row>
    <row r="20" spans="2:3" s="14" customFormat="1">
      <c r="B20" s="15"/>
    </row>
    <row r="21" spans="2:3" s="14" customFormat="1">
      <c r="B21" s="36" t="s">
        <v>7</v>
      </c>
    </row>
    <row r="22" spans="2:3" s="14" customFormat="1">
      <c r="B22" s="15" t="s">
        <v>41</v>
      </c>
    </row>
    <row r="23" spans="2:3" s="14" customFormat="1">
      <c r="B23" s="15" t="s">
        <v>42</v>
      </c>
    </row>
    <row r="24" spans="2:3" s="14" customFormat="1">
      <c r="B24" s="15" t="s">
        <v>43</v>
      </c>
    </row>
    <row r="25" spans="2:3" s="14" customFormat="1">
      <c r="B25" s="15"/>
    </row>
    <row r="26" spans="2:3" s="14" customFormat="1">
      <c r="B26" s="36" t="s">
        <v>44</v>
      </c>
    </row>
    <row r="27" spans="2:3" s="14" customFormat="1">
      <c r="B27" s="15" t="s">
        <v>45</v>
      </c>
    </row>
    <row r="28" spans="2:3" s="14" customFormat="1">
      <c r="B28" s="15" t="s">
        <v>46</v>
      </c>
    </row>
    <row r="29" spans="2:3" s="14" customFormat="1"/>
    <row r="30" spans="2:3" s="14" customFormat="1">
      <c r="B30" s="36" t="s">
        <v>47</v>
      </c>
    </row>
    <row r="31" spans="2:3" s="14" customFormat="1">
      <c r="B31" s="15" t="s">
        <v>23</v>
      </c>
      <c r="C31" s="20">
        <v>0</v>
      </c>
    </row>
    <row r="32" spans="2:3" s="14" customFormat="1">
      <c r="B32" s="15" t="s">
        <v>26</v>
      </c>
      <c r="C32" s="20">
        <v>0.5</v>
      </c>
    </row>
    <row r="33" spans="2:3" s="14" customFormat="1">
      <c r="B33" s="15" t="s">
        <v>28</v>
      </c>
      <c r="C33" s="20">
        <v>0.8</v>
      </c>
    </row>
    <row r="34" spans="2:3" s="14" customFormat="1">
      <c r="B34" s="15" t="s">
        <v>19</v>
      </c>
      <c r="C34" s="20">
        <v>1</v>
      </c>
    </row>
    <row r="35" spans="2:3" s="14" customFormat="1">
      <c r="B35" s="15"/>
      <c r="C35" s="20"/>
    </row>
    <row r="36" spans="2:3" s="14" customFormat="1">
      <c r="B36" s="36" t="s">
        <v>10</v>
      </c>
    </row>
    <row r="37" spans="2:3" s="14" customFormat="1">
      <c r="B37" s="15" t="s">
        <v>48</v>
      </c>
      <c r="C37" s="20">
        <v>0.5</v>
      </c>
    </row>
    <row r="38" spans="2:3" s="14" customFormat="1">
      <c r="B38" s="15" t="s">
        <v>49</v>
      </c>
      <c r="C38" s="20">
        <v>0.7</v>
      </c>
    </row>
    <row r="39" spans="2:3" s="14" customFormat="1">
      <c r="B39" s="15" t="s">
        <v>50</v>
      </c>
      <c r="C39" s="20">
        <v>0.9</v>
      </c>
    </row>
    <row r="40" spans="2:3" s="14" customFormat="1">
      <c r="B40" s="15" t="s">
        <v>20</v>
      </c>
      <c r="C40" s="20">
        <v>1</v>
      </c>
    </row>
    <row r="41" spans="2:3" s="14" customFormat="1">
      <c r="B41" s="15"/>
    </row>
    <row r="42" spans="2:3" s="14" customFormat="1">
      <c r="B42" s="18" t="s">
        <v>51</v>
      </c>
    </row>
    <row r="43" spans="2:3" s="14" customFormat="1">
      <c r="B43" s="15" t="s">
        <v>52</v>
      </c>
    </row>
    <row r="44" spans="2:3" s="14" customFormat="1"/>
    <row r="45" spans="2:3" s="14" customFormat="1">
      <c r="B45" s="18" t="s">
        <v>53</v>
      </c>
    </row>
    <row r="46" spans="2:3" s="14" customFormat="1">
      <c r="B46" s="15" t="s">
        <v>36</v>
      </c>
    </row>
    <row r="47" spans="2:3" s="14" customFormat="1">
      <c r="B47" s="15" t="s">
        <v>21</v>
      </c>
      <c r="C47" s="20">
        <v>1</v>
      </c>
    </row>
    <row r="48" spans="2:3" s="14" customFormat="1">
      <c r="B48" s="15" t="s">
        <v>24</v>
      </c>
      <c r="C48" s="20">
        <v>0</v>
      </c>
    </row>
    <row r="49" spans="2:3" s="14" customFormat="1">
      <c r="B49" s="15"/>
    </row>
    <row r="50" spans="2:3" s="14" customFormat="1">
      <c r="B50" s="15" t="s">
        <v>37</v>
      </c>
    </row>
    <row r="51" spans="2:3" s="14" customFormat="1">
      <c r="B51" s="15" t="s">
        <v>21</v>
      </c>
      <c r="C51" s="20">
        <v>1</v>
      </c>
    </row>
    <row r="52" spans="2:3" s="14" customFormat="1">
      <c r="B52" s="15" t="s">
        <v>24</v>
      </c>
      <c r="C52" s="20">
        <v>0</v>
      </c>
    </row>
    <row r="53" spans="2:3" s="14" customFormat="1">
      <c r="B53" s="15"/>
    </row>
    <row r="54" spans="2:3" s="14" customFormat="1" ht="15.75">
      <c r="B54" s="21" t="s">
        <v>54</v>
      </c>
    </row>
    <row r="55" spans="2:3" s="14" customFormat="1">
      <c r="B55" s="15" t="s">
        <v>55</v>
      </c>
    </row>
    <row r="56" spans="2:3" s="14" customFormat="1">
      <c r="B56" s="16"/>
    </row>
    <row r="57" spans="2:3" s="14" customFormat="1">
      <c r="B57" s="15"/>
    </row>
    <row r="58" spans="2:3" s="14" customFormat="1"/>
    <row r="59" spans="2:3" s="14" customFormat="1"/>
    <row r="60" spans="2:3" s="14" customFormat="1"/>
    <row r="61" spans="2:3" s="14" customFormat="1"/>
    <row r="62" spans="2:3" s="14" customFormat="1"/>
    <row r="63" spans="2:3" s="14" customFormat="1"/>
    <row r="64" spans="2:3" s="14" customFormat="1"/>
    <row r="65" s="14" customFormat="1"/>
    <row r="66" s="14" customFormat="1"/>
    <row r="67" s="14" customFormat="1"/>
    <row r="68" s="14" customFormat="1"/>
    <row r="69" s="14" customFormat="1"/>
    <row r="70" s="14" customFormat="1"/>
    <row r="71" s="14" customFormat="1"/>
    <row r="72" s="14" customFormat="1"/>
    <row r="73" s="14" customFormat="1"/>
    <row r="74" s="14" customFormat="1"/>
    <row r="75" s="14" customFormat="1"/>
    <row r="76" s="14" customFormat="1"/>
    <row r="77" s="14" customFormat="1"/>
    <row r="78" s="14" customFormat="1"/>
    <row r="79" s="14" customFormat="1"/>
    <row r="80" s="14" customFormat="1"/>
    <row r="81" s="14" customFormat="1"/>
    <row r="82" s="14" customFormat="1"/>
    <row r="83" s="14" customFormat="1"/>
    <row r="84" s="14" customFormat="1"/>
    <row r="85" s="14" customFormat="1"/>
    <row r="86" s="14" customFormat="1"/>
    <row r="87" s="14" customFormat="1"/>
    <row r="88" s="14" customFormat="1"/>
    <row r="89" s="14" customFormat="1"/>
    <row r="90" s="14" customFormat="1"/>
    <row r="91" s="14" customFormat="1"/>
    <row r="92" s="14" customFormat="1"/>
    <row r="93" s="14" customFormat="1"/>
    <row r="94" s="14" customFormat="1"/>
    <row r="95" s="14" customFormat="1"/>
    <row r="96" s="14" customFormat="1"/>
    <row r="97" s="14" customFormat="1"/>
    <row r="98" s="14" customFormat="1"/>
    <row r="99" s="14" customFormat="1"/>
    <row r="100" s="14" customFormat="1"/>
    <row r="101" s="14" customFormat="1"/>
    <row r="102" s="14" customFormat="1"/>
    <row r="103" s="14" customFormat="1"/>
    <row r="104" s="14" customFormat="1"/>
    <row r="105" s="14" customFormat="1"/>
    <row r="106" s="14" customFormat="1"/>
    <row r="107" s="14" customFormat="1"/>
    <row r="108" s="14" customFormat="1"/>
    <row r="109" s="14" customFormat="1"/>
    <row r="110" s="14" customFormat="1"/>
    <row r="111" s="14" customFormat="1"/>
    <row r="112" s="14" customFormat="1"/>
    <row r="113" s="14" customFormat="1"/>
    <row r="114" s="14" customFormat="1"/>
    <row r="115" s="14" customFormat="1"/>
    <row r="116" s="14" customFormat="1"/>
    <row r="117" s="14" customFormat="1"/>
    <row r="118" s="14" customFormat="1"/>
    <row r="119" s="14" customFormat="1"/>
    <row r="120" s="14" customFormat="1"/>
    <row r="121" s="14" customFormat="1"/>
    <row r="122" s="14" customFormat="1"/>
    <row r="123" s="14" customFormat="1"/>
    <row r="124" s="14" customFormat="1"/>
    <row r="125" s="14" customFormat="1"/>
    <row r="126" s="14" customFormat="1"/>
    <row r="127" s="14" customFormat="1"/>
    <row r="128" s="14" customFormat="1"/>
    <row r="129" s="1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Oliveira</cp:lastModifiedBy>
  <cp:revision/>
  <dcterms:created xsi:type="dcterms:W3CDTF">2026-04-10T15:23:43Z</dcterms:created>
  <dcterms:modified xsi:type="dcterms:W3CDTF">2026-05-26T14:32:15Z</dcterms:modified>
  <cp:category/>
  <cp:contentStatus/>
</cp:coreProperties>
</file>