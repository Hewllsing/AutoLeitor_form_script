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035" yWindow="1545" windowWidth="25170" windowHeight="13845" tabRatio="600" firstSheet="0" activeTab="0" autoFilterDateGrouping="1"/>
  </bookViews>
  <sheets>
    <sheet name="Analise" sheetId="1" state="visible" r:id="rId1"/>
    <sheet name="Criterios" sheetId="2" state="visible" r:id="rId2"/>
  </sheets>
  <definedNames/>
  <calcPr calcId="191028" fullCalcOnLoad="1"/>
</workbook>
</file>

<file path=xl/styles.xml><?xml version="1.0" encoding="utf-8"?>
<styleSheet xmlns="http://schemas.openxmlformats.org/spreadsheetml/2006/main">
  <numFmts count="2">
    <numFmt numFmtId="164" formatCode="_-* #,##0.00\ [$€-816]_-;\-* #,##0.00\ [$€-816]_-;_-* &quot;-&quot;??\ [$€-816]_-;_-@_-"/>
    <numFmt numFmtId="165" formatCode="0.0%"/>
  </numFmts>
  <fonts count="11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ptos Light"/>
      <family val="2"/>
      <b val="1"/>
      <color theme="1"/>
      <sz val="11"/>
    </font>
    <font>
      <name val="Aptos Light"/>
      <family val="2"/>
      <color theme="1"/>
      <sz val="11"/>
    </font>
    <font>
      <name val="Aptos Light"/>
      <family val="2"/>
      <color theme="1"/>
      <sz val="10"/>
    </font>
    <font>
      <name val="Aptos Light"/>
      <family val="2"/>
      <b val="1"/>
      <color theme="1"/>
      <sz val="10"/>
    </font>
    <font>
      <name val="Aptos Light"/>
      <family val="2"/>
      <b val="1"/>
      <color theme="1"/>
      <sz val="12"/>
    </font>
    <font>
      <name val="Aptos Light"/>
      <family val="2"/>
      <b val="1"/>
      <color theme="8"/>
      <sz val="14"/>
    </font>
    <font>
      <name val="Aptos Light"/>
      <family val="2"/>
      <b val="1"/>
      <color theme="8"/>
      <sz val="13"/>
    </font>
    <font>
      <name val="Aptos Light"/>
      <family val="2"/>
      <b val="1"/>
      <i val="1"/>
      <color theme="1"/>
      <sz val="11"/>
    </font>
    <font>
      <name val="Aptos Light"/>
      <family val="2"/>
      <b val="1"/>
      <color theme="1"/>
      <sz val="14"/>
    </font>
  </fonts>
  <fills count="4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1" fillId="0" borderId="0"/>
    <xf numFmtId="9" fontId="1" fillId="0" borderId="0"/>
  </cellStyleXfs>
  <cellXfs count="88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3" fillId="0" borderId="9" applyAlignment="1" pivotButton="0" quotePrefix="0" xfId="0">
      <alignment vertical="center"/>
    </xf>
    <xf numFmtId="0" fontId="3" fillId="0" borderId="10" applyAlignment="1" pivotButton="0" quotePrefix="0" xfId="0">
      <alignment vertical="center"/>
    </xf>
    <xf numFmtId="164" fontId="4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 wrapText="1"/>
    </xf>
    <xf numFmtId="0" fontId="3" fillId="0" borderId="15" applyAlignment="1" pivotButton="0" quotePrefix="0" xfId="0">
      <alignment vertical="center"/>
    </xf>
    <xf numFmtId="164" fontId="4" fillId="2" borderId="7" applyAlignment="1" pivotButton="0" quotePrefix="0" xfId="0">
      <alignment vertical="center" wrapText="1"/>
    </xf>
    <xf numFmtId="0" fontId="4" fillId="2" borderId="7" applyAlignment="1" pivotButton="0" quotePrefix="0" xfId="0">
      <alignment horizontal="center" vertical="center" wrapText="1"/>
    </xf>
    <xf numFmtId="165" fontId="4" fillId="3" borderId="7" applyAlignment="1" pivotButton="0" quotePrefix="0" xfId="0">
      <alignment vertical="center" wrapText="1"/>
    </xf>
    <xf numFmtId="0" fontId="5" fillId="2" borderId="16" applyAlignment="1" pivotButton="0" quotePrefix="0" xfId="0">
      <alignment horizontal="center" vertical="center" wrapText="1"/>
    </xf>
    <xf numFmtId="0" fontId="5" fillId="3" borderId="18" applyAlignment="1" pivotButton="0" quotePrefix="0" xfId="0">
      <alignment horizontal="center" vertical="center" wrapText="1"/>
    </xf>
    <xf numFmtId="0" fontId="5" fillId="3" borderId="16" applyAlignment="1" pivotButton="0" quotePrefix="0" xfId="0">
      <alignment horizontal="center" vertical="center" wrapText="1"/>
    </xf>
    <xf numFmtId="0" fontId="5" fillId="3" borderId="17" applyAlignment="1" pivotButton="0" quotePrefix="0" xfId="0">
      <alignment horizontal="center" vertical="center" wrapText="1"/>
    </xf>
    <xf numFmtId="0" fontId="3" fillId="0" borderId="0" pivotButton="0" quotePrefix="0" xfId="0"/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vertical="center"/>
    </xf>
    <xf numFmtId="0" fontId="4" fillId="2" borderId="0" applyAlignment="1" pivotButton="0" quotePrefix="0" xfId="0">
      <alignment horizontal="center" vertical="center" wrapText="1"/>
    </xf>
    <xf numFmtId="9" fontId="3" fillId="0" borderId="0" pivotButton="0" quotePrefix="0" xfId="0"/>
    <xf numFmtId="0" fontId="6" fillId="0" borderId="0" applyAlignment="1" pivotButton="0" quotePrefix="0" xfId="0">
      <alignment vertical="center"/>
    </xf>
    <xf numFmtId="164" fontId="5" fillId="2" borderId="0" applyAlignment="1" pivotButton="0" quotePrefix="0" xfId="0">
      <alignment vertical="center" wrapText="1"/>
    </xf>
    <xf numFmtId="164" fontId="5" fillId="2" borderId="7" applyAlignment="1" pivotButton="0" quotePrefix="0" xfId="0">
      <alignment vertical="center" wrapText="1"/>
    </xf>
    <xf numFmtId="10" fontId="4" fillId="3" borderId="0" applyAlignment="1" pivotButton="0" quotePrefix="0" xfId="0">
      <alignment vertical="center" wrapText="1"/>
    </xf>
    <xf numFmtId="0" fontId="5" fillId="2" borderId="19" applyAlignment="1" pivotButton="0" quotePrefix="0" xfId="0">
      <alignment horizontal="center" vertical="center" wrapText="1"/>
    </xf>
    <xf numFmtId="10" fontId="4" fillId="3" borderId="0" applyAlignment="1" pivotButton="0" quotePrefix="0" xfId="1">
      <alignment vertical="center" wrapText="1"/>
    </xf>
    <xf numFmtId="165" fontId="4" fillId="3" borderId="7" applyAlignment="1" pivotButton="0" quotePrefix="0" xfId="1">
      <alignment vertical="center" wrapText="1"/>
    </xf>
    <xf numFmtId="10" fontId="4" fillId="3" borderId="4" applyAlignment="1" pivotButton="0" quotePrefix="0" xfId="0">
      <alignment vertical="center" wrapText="1"/>
    </xf>
    <xf numFmtId="165" fontId="4" fillId="3" borderId="6" applyAlignment="1" pivotButton="0" quotePrefix="0" xfId="0">
      <alignment vertical="center" wrapText="1"/>
    </xf>
    <xf numFmtId="10" fontId="4" fillId="3" borderId="24" applyAlignment="1" pivotButton="0" quotePrefix="0" xfId="0">
      <alignment vertical="center" wrapText="1"/>
    </xf>
    <xf numFmtId="10" fontId="4" fillId="3" borderId="25" applyAlignment="1" pivotButton="0" quotePrefix="0" xfId="0">
      <alignment vertical="center" wrapText="1"/>
    </xf>
    <xf numFmtId="10" fontId="5" fillId="3" borderId="26" applyAlignment="1" pivotButton="0" quotePrefix="0" xfId="0">
      <alignment vertical="center" wrapText="1"/>
    </xf>
    <xf numFmtId="165" fontId="4" fillId="3" borderId="27" applyAlignment="1" pivotButton="0" quotePrefix="0" xfId="0">
      <alignment vertical="center" wrapText="1"/>
    </xf>
    <xf numFmtId="165" fontId="4" fillId="3" borderId="19" applyAlignment="1" pivotButton="0" quotePrefix="0" xfId="0">
      <alignment vertical="center" wrapText="1"/>
    </xf>
    <xf numFmtId="165" fontId="5" fillId="3" borderId="21" applyAlignment="1" pivotButton="0" quotePrefix="0" xfId="0">
      <alignment vertical="center" wrapText="1"/>
    </xf>
    <xf numFmtId="0" fontId="9" fillId="0" borderId="0" applyAlignment="1" pivotButton="0" quotePrefix="0" xfId="0">
      <alignment vertical="center"/>
    </xf>
    <xf numFmtId="9" fontId="3" fillId="3" borderId="18" applyAlignment="1" pivotButton="0" quotePrefix="0" xfId="0">
      <alignment horizontal="center" vertical="center"/>
    </xf>
    <xf numFmtId="9" fontId="3" fillId="3" borderId="16" applyAlignment="1" pivotButton="0" quotePrefix="0" xfId="0">
      <alignment horizontal="center" vertical="center"/>
    </xf>
    <xf numFmtId="9" fontId="3" fillId="3" borderId="17" applyAlignment="1" pivotButton="0" quotePrefix="0" xfId="0">
      <alignment horizontal="center" vertical="center"/>
    </xf>
    <xf numFmtId="9" fontId="4" fillId="2" borderId="29" applyAlignment="1" pivotButton="0" quotePrefix="0" xfId="0">
      <alignment horizontal="center" vertical="center" wrapText="1"/>
    </xf>
    <xf numFmtId="0" fontId="5" fillId="3" borderId="12" applyAlignment="1" pivotButton="0" quotePrefix="0" xfId="0">
      <alignment horizontal="center" vertical="center"/>
    </xf>
    <xf numFmtId="0" fontId="5" fillId="3" borderId="11" applyAlignment="1" pivotButton="0" quotePrefix="0" xfId="0">
      <alignment horizontal="center" vertical="center" wrapText="1"/>
    </xf>
    <xf numFmtId="0" fontId="5" fillId="3" borderId="14" applyAlignment="1" pivotButton="0" quotePrefix="0" xfId="0">
      <alignment horizontal="center" vertical="center" wrapText="1"/>
    </xf>
    <xf numFmtId="14" fontId="4" fillId="2" borderId="5" applyAlignment="1" pivotButton="0" quotePrefix="0" xfId="0">
      <alignment vertical="center" wrapText="1"/>
    </xf>
    <xf numFmtId="14" fontId="4" fillId="2" borderId="8" applyAlignment="1" pivotButton="0" quotePrefix="0" xfId="0">
      <alignment vertical="center" wrapText="1"/>
    </xf>
    <xf numFmtId="10" fontId="4" fillId="2" borderId="29" applyAlignment="1" pivotButton="0" quotePrefix="0" xfId="1">
      <alignment vertical="center" wrapText="1"/>
    </xf>
    <xf numFmtId="10" fontId="4" fillId="2" borderId="16" applyAlignment="1" pivotButton="0" quotePrefix="0" xfId="0">
      <alignment vertical="center"/>
    </xf>
    <xf numFmtId="0" fontId="5" fillId="3" borderId="13" applyAlignment="1" pivotButton="0" quotePrefix="0" xfId="0">
      <alignment horizontal="center" vertical="center" wrapText="1"/>
    </xf>
    <xf numFmtId="10" fontId="4" fillId="2" borderId="30" applyAlignment="1" pivotButton="0" quotePrefix="0" xfId="1">
      <alignment vertical="center" wrapText="1"/>
    </xf>
    <xf numFmtId="0" fontId="5" fillId="2" borderId="31" applyAlignment="1" pivotButton="0" quotePrefix="0" xfId="0">
      <alignment horizontal="center" vertical="center" wrapText="1"/>
    </xf>
    <xf numFmtId="164" fontId="4" fillId="2" borderId="0" applyAlignment="1" pivotButton="0" quotePrefix="0" xfId="0">
      <alignment horizontal="center" vertical="center" wrapText="1"/>
    </xf>
    <xf numFmtId="0" fontId="0" fillId="0" borderId="22" applyAlignment="1" pivotButton="0" quotePrefix="0" xfId="0">
      <alignment horizontal="center" vertical="center"/>
    </xf>
    <xf numFmtId="0" fontId="0" fillId="0" borderId="20" applyAlignment="1" pivotButton="0" quotePrefix="0" xfId="0">
      <alignment horizontal="center" vertical="center"/>
    </xf>
    <xf numFmtId="0" fontId="10" fillId="0" borderId="20" applyAlignment="1" pivotButton="0" quotePrefix="0" xfId="0">
      <alignment horizontal="center" vertical="center" wrapText="1"/>
    </xf>
    <xf numFmtId="0" fontId="10" fillId="0" borderId="23" applyAlignment="1" pivotButton="0" quotePrefix="0" xfId="0">
      <alignment horizontal="center" vertical="center" wrapText="1"/>
    </xf>
    <xf numFmtId="0" fontId="5" fillId="3" borderId="12" applyAlignment="1" pivotButton="0" quotePrefix="0" xfId="0">
      <alignment horizontal="center" vertical="center"/>
    </xf>
    <xf numFmtId="0" fontId="5" fillId="3" borderId="13" applyAlignment="1" pivotButton="0" quotePrefix="0" xfId="0">
      <alignment horizontal="center" vertical="center"/>
    </xf>
    <xf numFmtId="0" fontId="5" fillId="3" borderId="14" applyAlignment="1" pivotButton="0" quotePrefix="0" xfId="0">
      <alignment horizontal="center" vertical="center"/>
    </xf>
    <xf numFmtId="0" fontId="5" fillId="2" borderId="28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22" applyAlignment="1" pivotButton="0" quotePrefix="0" xfId="0">
      <alignment horizontal="center" vertical="center" wrapText="1"/>
    </xf>
    <xf numFmtId="0" fontId="5" fillId="2" borderId="23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center"/>
    </xf>
    <xf numFmtId="0" fontId="7" fillId="0" borderId="3" applyAlignment="1" pivotButton="0" quotePrefix="0" xfId="0">
      <alignment horizontal="center" vertical="center"/>
    </xf>
    <xf numFmtId="0" fontId="8" fillId="0" borderId="6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8" fillId="0" borderId="7" applyAlignment="1" pivotButton="0" quotePrefix="0" xfId="0">
      <alignment horizontal="center" vertical="center"/>
    </xf>
    <xf numFmtId="0" fontId="8" fillId="0" borderId="8" applyAlignment="1" pivotButton="0" quotePrefix="0" xfId="0">
      <alignment horizontal="center" vertical="center"/>
    </xf>
    <xf numFmtId="0" fontId="5" fillId="2" borderId="29" applyAlignment="1" pivotButton="0" quotePrefix="0" xfId="0">
      <alignment horizontal="center" vertical="center" wrapText="1"/>
    </xf>
    <xf numFmtId="0" fontId="5" fillId="2" borderId="19" applyAlignment="1" pivotButton="0" quotePrefix="0" xfId="0">
      <alignment horizontal="center" vertical="center" wrapText="1"/>
    </xf>
    <xf numFmtId="0" fontId="7" fillId="0" borderId="22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20" pivotButton="0" quotePrefix="0" xfId="0"/>
    <xf numFmtId="0" fontId="8" fillId="0" borderId="23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5" fillId="2" borderId="18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3" borderId="11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14" pivotButton="0" quotePrefix="0" xfId="0"/>
    <xf numFmtId="0" fontId="0" fillId="0" borderId="23" pivotButton="0" quotePrefix="0" xfId="0"/>
    <xf numFmtId="0" fontId="0" fillId="0" borderId="27" pivotButton="0" quotePrefix="0" xfId="0"/>
    <xf numFmtId="0" fontId="0" fillId="0" borderId="19" pivotButton="0" quotePrefix="0" xfId="0"/>
    <xf numFmtId="0" fontId="1" fillId="0" borderId="0" pivotButton="0" quotePrefix="0" xfId="0"/>
  </cellXfs>
  <cellStyles count="2">
    <cellStyle name="Normal" xfId="0" builtinId="0"/>
    <cellStyle name="Per cent" xfId="1" builtinId="5"/>
  </cellStyles>
  <dxfs count="6">
    <dxf>
      <fill>
        <patternFill patternType="solid">
          <fgColor rgb="FFA7F3A4"/>
        </patternFill>
      </fill>
    </dxf>
    <dxf>
      <fill>
        <patternFill>
          <bgColor rgb="FF92D050"/>
        </patternFill>
      </fill>
    </dxf>
    <dxf>
      <fill>
        <patternFill patternType="solid">
          <fgColor rgb="FFC6EFCE"/>
        </patternFill>
      </fill>
    </dxf>
    <dxf>
      <fill>
        <patternFill>
          <bgColor rgb="FF92D050"/>
        </patternFill>
      </fill>
    </dxf>
    <dxf>
      <fill>
        <patternFill patternType="solid">
          <fgColor rgb="FFC6EFCE"/>
        </patternFill>
      </fill>
    </dxf>
    <dxf>
      <fill>
        <patternFill>
          <bgColor rgb="FF92D05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R14"/>
  <sheetViews>
    <sheetView showGridLines="0" tabSelected="1" topLeftCell="B1" workbookViewId="0">
      <selection activeCell="S7" sqref="S7"/>
    </sheetView>
  </sheetViews>
  <sheetFormatPr baseColWidth="8" defaultRowHeight="15"/>
  <cols>
    <col width="1.140625" customWidth="1" min="1" max="1"/>
    <col width="40.140625" customWidth="1" min="2" max="2"/>
    <col width="12.7109375" customWidth="1" min="3" max="4"/>
    <col width="13.42578125" customWidth="1" min="5" max="5"/>
    <col width="11.7109375" customWidth="1" style="1" min="6" max="8"/>
    <col width="11.7109375" customWidth="1" min="9" max="11"/>
    <col width="10.85546875" customWidth="1" min="12" max="12"/>
    <col width="11" customWidth="1" min="13" max="18"/>
  </cols>
  <sheetData>
    <row r="2" ht="15.75" customHeight="1" thickBot="1"/>
    <row r="3" ht="37.5" customHeight="1">
      <c r="B3" s="52" t="e">
        <v>#VALUE!</v>
      </c>
      <c r="C3" s="72" t="inlineStr">
        <is>
          <t>Analise comparativa | Processo não recorrente</t>
        </is>
      </c>
      <c r="D3" s="73" t="n"/>
      <c r="E3" s="73" t="n"/>
      <c r="F3" s="73" t="n"/>
      <c r="G3" s="73" t="n"/>
      <c r="H3" s="73" t="n"/>
      <c r="I3" s="73" t="n"/>
      <c r="J3" s="73" t="n"/>
      <c r="K3" s="73" t="n"/>
      <c r="L3" s="73" t="n"/>
      <c r="M3" s="73" t="n"/>
      <c r="N3" s="73" t="n"/>
      <c r="O3" s="73" t="n"/>
      <c r="P3" s="73" t="n"/>
      <c r="Q3" s="73" t="n"/>
      <c r="R3" s="74" t="n"/>
    </row>
    <row r="4" ht="37.5" customHeight="1" thickBot="1">
      <c r="B4" s="75" t="n"/>
      <c r="C4" s="76" t="inlineStr">
        <is>
          <t>PROCESSO Nº</t>
        </is>
      </c>
      <c r="D4" s="77" t="n"/>
      <c r="E4" s="77" t="n"/>
      <c r="F4" s="77" t="n"/>
      <c r="G4" s="77" t="n"/>
      <c r="H4" s="77" t="n"/>
      <c r="I4" s="77" t="n"/>
      <c r="J4" s="77" t="n"/>
      <c r="K4" s="77" t="n"/>
      <c r="L4" s="77" t="n"/>
      <c r="M4" s="77" t="n"/>
      <c r="N4" s="77" t="n"/>
      <c r="O4" s="77" t="n"/>
      <c r="P4" s="77" t="n"/>
      <c r="Q4" s="77" t="n"/>
      <c r="R4" s="78" t="n"/>
    </row>
    <row r="5" ht="17.25" customHeight="1" thickBot="1">
      <c r="B5" s="55" t="inlineStr">
        <is>
          <t>Fornecedor</t>
        </is>
      </c>
      <c r="C5" s="79" t="inlineStr">
        <is>
          <t>Preço</t>
        </is>
      </c>
      <c r="D5" s="10" t="inlineStr">
        <is>
          <t>Transporte</t>
        </is>
      </c>
      <c r="E5" s="40" t="n">
        <v>0.9</v>
      </c>
      <c r="F5" s="47" t="n">
        <v>0.025</v>
      </c>
      <c r="G5" s="47" t="n">
        <v>0.025</v>
      </c>
      <c r="H5" s="47" t="n">
        <v>0.025</v>
      </c>
      <c r="I5" s="46" t="n">
        <v>0.0125</v>
      </c>
      <c r="J5" s="49" t="n">
        <v>0.0125</v>
      </c>
      <c r="K5" s="80" t="inlineStr">
        <is>
          <t>Validade Proposta</t>
        </is>
      </c>
      <c r="L5" s="81" t="inlineStr">
        <is>
          <t>Pontuação Outros</t>
        </is>
      </c>
      <c r="M5" s="82" t="n"/>
      <c r="N5" s="82" t="n"/>
      <c r="O5" s="83" t="n"/>
      <c r="P5" s="37" t="n">
        <v>0.1</v>
      </c>
      <c r="Q5" s="38" t="n">
        <v>0.9</v>
      </c>
      <c r="R5" s="39" t="n">
        <v>1</v>
      </c>
    </row>
    <row r="6" ht="40.5" customHeight="1" thickBot="1">
      <c r="B6" s="84" t="n"/>
      <c r="C6" s="85" t="n"/>
      <c r="D6" s="86" t="n"/>
      <c r="E6" s="10" t="inlineStr">
        <is>
          <t>Preço Total</t>
        </is>
      </c>
      <c r="F6" s="71" t="inlineStr">
        <is>
          <t>Prazo Entrega (dias)</t>
        </is>
      </c>
      <c r="G6" s="71" t="inlineStr">
        <is>
          <t>Pagamento</t>
        </is>
      </c>
      <c r="H6" s="71" t="inlineStr">
        <is>
          <t>Garantia</t>
        </is>
      </c>
      <c r="I6" s="10" t="inlineStr">
        <is>
          <t>Certificado do Produto</t>
        </is>
      </c>
      <c r="J6" s="50" t="inlineStr">
        <is>
          <t>Certificado Empresa</t>
        </is>
      </c>
      <c r="K6" s="84" t="n"/>
      <c r="L6" s="56" t="inlineStr">
        <is>
          <t>Prazo</t>
        </is>
      </c>
      <c r="M6" s="42" t="inlineStr">
        <is>
          <t>Pagamento</t>
        </is>
      </c>
      <c r="N6" s="43" t="inlineStr">
        <is>
          <t>Garantia</t>
        </is>
      </c>
      <c r="O6" s="48" t="inlineStr">
        <is>
          <t>Certificados</t>
        </is>
      </c>
      <c r="P6" s="11" t="inlineStr">
        <is>
          <t>Pont. Outros</t>
        </is>
      </c>
      <c r="Q6" s="12" t="inlineStr">
        <is>
          <t xml:space="preserve">Pont. Preço </t>
        </is>
      </c>
      <c r="R6" s="13" t="inlineStr">
        <is>
          <t>Score Final</t>
        </is>
      </c>
    </row>
    <row r="7" ht="42" customHeight="1">
      <c r="A7" s="87" t="n"/>
      <c r="B7" s="2" t="inlineStr">
        <is>
          <t>leonardo teste</t>
        </is>
      </c>
      <c r="C7" s="4" t="n">
        <v>1000</v>
      </c>
      <c r="D7" s="4" t="n">
        <v>100</v>
      </c>
      <c r="E7" s="22">
        <f>C7+D7</f>
        <v/>
      </c>
      <c r="F7" s="19" t="n">
        <v>30</v>
      </c>
      <c r="G7" s="19" t="inlineStr"/>
      <c r="H7" s="19" t="inlineStr">
        <is>
          <t>1 ano</t>
        </is>
      </c>
      <c r="I7" s="51" t="inlineStr">
        <is>
          <t>Sim</t>
        </is>
      </c>
      <c r="J7" s="51" t="inlineStr">
        <is>
          <t>Sim</t>
        </is>
      </c>
      <c r="K7" s="44" t="inlineStr">
        <is>
          <t>30 dias</t>
        </is>
      </c>
      <c r="L7" s="28">
        <f>MIN($F$7:$F$14)/F7</f>
        <v/>
      </c>
      <c r="M7" s="26">
        <f>IF(ISNUMBER(SEARCH("PP",G7)),0,IF(ISNUMBER(SEARCH("30 dias",G7)),0.5,IF(ISNUMBER(SEARCH("60 dias",G7)),0.8,IF(ISNUMBER(SEARCH("90 dias",G7)),1))))</f>
        <v/>
      </c>
      <c r="N7" s="24">
        <f>IF(LEFT(H7,1)="6",0.5,IF(LEFT(H7,1)="1",0.7,IF(LEFT(H7,1)="2",0.9,1)))</f>
        <v/>
      </c>
      <c r="O7" s="24">
        <f>(IF(I7="Sim",1,0)+IF(J7="Sim",1,0))/2</f>
        <v/>
      </c>
      <c r="P7" s="30">
        <f>(L7+M7/100+N7)/3</f>
        <v/>
      </c>
      <c r="Q7" s="31">
        <f>MIN($E$7:$E$14)/E7</f>
        <v/>
      </c>
      <c r="R7" s="32">
        <f>((Q7*$E$5) + P7*($F$5+$G$5+$H$5+$I$5+$J$5))</f>
        <v/>
      </c>
    </row>
    <row r="8" ht="42" customHeight="1">
      <c r="A8" s="87" t="n"/>
      <c r="B8" s="2" t="inlineStr">
        <is>
          <t>leonardo teste 2</t>
        </is>
      </c>
      <c r="C8" s="4" t="n">
        <v>1000</v>
      </c>
      <c r="D8" s="4" t="n">
        <v>100</v>
      </c>
      <c r="E8" s="22">
        <f>C8+D8</f>
        <v/>
      </c>
      <c r="F8" s="19" t="n">
        <v>30</v>
      </c>
      <c r="G8" s="19" t="inlineStr"/>
      <c r="H8" s="19" t="inlineStr">
        <is>
          <t>1 ano</t>
        </is>
      </c>
      <c r="I8" s="51" t="inlineStr">
        <is>
          <t>Sim</t>
        </is>
      </c>
      <c r="J8" s="51" t="inlineStr">
        <is>
          <t>Sim</t>
        </is>
      </c>
      <c r="K8" s="44" t="inlineStr">
        <is>
          <t>30 dias</t>
        </is>
      </c>
      <c r="L8" s="28">
        <f>MIN($F$7:$F$14)/F8</f>
        <v/>
      </c>
      <c r="M8" s="26">
        <f>IF(ISNUMBER(SEARCH("PP",G8)),0,IF(ISNUMBER(SEARCH("30 dias",G8)),0.5,IF(ISNUMBER(SEARCH("60 dias",G8)),0.8,IF(ISNUMBER(SEARCH("90 dias",G8)),1))))</f>
        <v/>
      </c>
      <c r="N8" s="24">
        <f>IF(LEFT(H8,1)="6",0.5,IF(LEFT(H8,1)="1",0.7,IF(LEFT(H8,1)="2",0.9,1)))</f>
        <v/>
      </c>
      <c r="O8" s="24">
        <f>(IF(I8="Sim",1,0)+IF(J8="Sim",1,0))/2</f>
        <v/>
      </c>
      <c r="P8" s="30">
        <f>(L8+M8/100+N8)/3</f>
        <v/>
      </c>
      <c r="Q8" s="31">
        <f>MIN($E$7:$E$14)/E8</f>
        <v/>
      </c>
      <c r="R8" s="32">
        <f>((Q8*$E$5) + P8*($F$5+$G$5+$H$5+$I$5+$J$5))</f>
        <v/>
      </c>
    </row>
    <row r="9" ht="42" customHeight="1">
      <c r="A9" s="87" t="n"/>
      <c r="B9" s="2" t="inlineStr">
        <is>
          <t>daniel teste</t>
        </is>
      </c>
      <c r="C9" s="4" t="n">
        <v>1000</v>
      </c>
      <c r="D9" s="4" t="n">
        <v>100</v>
      </c>
      <c r="E9" s="22">
        <f>C9+D9</f>
        <v/>
      </c>
      <c r="F9" s="19" t="n">
        <v>30</v>
      </c>
      <c r="G9" s="19" t="inlineStr">
        <is>
          <t>90 dias</t>
        </is>
      </c>
      <c r="H9" s="19" t="inlineStr">
        <is>
          <t>1 ano</t>
        </is>
      </c>
      <c r="I9" s="51" t="inlineStr">
        <is>
          <t>Sim</t>
        </is>
      </c>
      <c r="J9" s="51" t="inlineStr">
        <is>
          <t>Sim</t>
        </is>
      </c>
      <c r="K9" s="44" t="inlineStr">
        <is>
          <t>30 dias</t>
        </is>
      </c>
      <c r="L9" s="28">
        <f>MIN($F$7:$F$14)/F9</f>
        <v/>
      </c>
      <c r="M9" s="26">
        <f>IF(ISNUMBER(SEARCH("PP",G9)),0,IF(ISNUMBER(SEARCH("30 dias",G9)),0.5,IF(ISNUMBER(SEARCH("60 dias",G9)),0.8,IF(ISNUMBER(SEARCH("90 dias",G9)),1))))</f>
        <v/>
      </c>
      <c r="N9" s="24">
        <f>IF(LEFT(H9,1)="6",0.5,IF(LEFT(H9,1)="1",0.7,IF(LEFT(H9,1)="2",0.9,1)))</f>
        <v/>
      </c>
      <c r="O9" s="24">
        <f>(IF(I9="Sim",1,0)+IF(J9="Sim",1,0))/2</f>
        <v/>
      </c>
      <c r="P9" s="30">
        <f>(L9+M9/100+N9)/3</f>
        <v/>
      </c>
      <c r="Q9" s="31">
        <f>MIN($E$7:$E$14)/E9</f>
        <v/>
      </c>
      <c r="R9" s="32">
        <f>((Q9*$E$5) + P9*($F$5+$G$5+$H$5+$I$5+$J$5))</f>
        <v/>
      </c>
    </row>
    <row r="10" ht="42" customHeight="1">
      <c r="B10" s="2" t="n"/>
      <c r="C10" s="4" t="n"/>
      <c r="D10" s="4" t="n"/>
      <c r="E10" s="22">
        <f>C10+D10</f>
        <v/>
      </c>
      <c r="F10" s="19" t="n"/>
      <c r="G10" s="19" t="n"/>
      <c r="H10" s="19" t="n"/>
      <c r="I10" s="51" t="n"/>
      <c r="J10" s="51" t="n"/>
      <c r="K10" s="44" t="n"/>
      <c r="L10" s="28">
        <f>MIN($F$7:$F$14)/F10</f>
        <v/>
      </c>
      <c r="M10" s="26">
        <f>IF(ISNUMBER(SEARCH("PP",G10)),0,IF(ISNUMBER(SEARCH("30 dias",G10)),0.5,IF(ISNUMBER(SEARCH("60 dias",G10)),0.8,IF(ISNUMBER(SEARCH("90 dias",G10)),1))))</f>
        <v/>
      </c>
      <c r="N10" s="24">
        <f>IF(LEFT(H10,1)="6",0.5,IF(LEFT(H10,1)="1",0.7,IF(LEFT(H10,1)="2",0.9,1)))</f>
        <v/>
      </c>
      <c r="O10" s="24">
        <f>(IF(I10="Sim",1,0)+IF(J10="Sim",1,0))/2</f>
        <v/>
      </c>
      <c r="P10" s="30">
        <f>(L10+M10/100+N10)/3</f>
        <v/>
      </c>
      <c r="Q10" s="31">
        <f>MIN($E$7:$E$14)/E10</f>
        <v/>
      </c>
      <c r="R10" s="32">
        <f>((Q10*$E$5) + P10*($F$5+$G$5+$H$5+$I$5+$J$5))</f>
        <v/>
      </c>
    </row>
    <row r="11" ht="42" customHeight="1">
      <c r="B11" s="2" t="n"/>
      <c r="C11" s="4" t="n"/>
      <c r="D11" s="4" t="n"/>
      <c r="E11" s="22">
        <f>C11+D11</f>
        <v/>
      </c>
      <c r="F11" s="19" t="n"/>
      <c r="G11" s="19" t="n"/>
      <c r="H11" s="19" t="n"/>
      <c r="I11" s="51" t="n"/>
      <c r="J11" s="51" t="n"/>
      <c r="K11" s="44" t="n"/>
      <c r="L11" s="28">
        <f>MIN($F$7:$F$14)/F11</f>
        <v/>
      </c>
      <c r="M11" s="26">
        <f>IF(ISNUMBER(SEARCH("PP",G11)),0,IF(ISNUMBER(SEARCH("30 dias",G11)),0.5,IF(ISNUMBER(SEARCH("60 dias",G11)),0.8,IF(ISNUMBER(SEARCH("90 dias",G11)),1))))</f>
        <v/>
      </c>
      <c r="N11" s="24">
        <f>IF(LEFT(H11,1)="6",0.5,IF(LEFT(H11,1)="1",0.7,IF(LEFT(H11,1)="2",0.9,1)))</f>
        <v/>
      </c>
      <c r="O11" s="24">
        <f>(IF(I11="Sim",1,0)+IF(J11="Sim",1,0))/2</f>
        <v/>
      </c>
      <c r="P11" s="30">
        <f>(L11+M11/100+N11)/3</f>
        <v/>
      </c>
      <c r="Q11" s="31">
        <f>MIN($E$7:$E$14)/E11</f>
        <v/>
      </c>
      <c r="R11" s="32">
        <f>((Q11*$E$5) + P11*($F$5+$G$5+$H$5+$I$5+$J$5))</f>
        <v/>
      </c>
    </row>
    <row r="12" ht="42" customHeight="1">
      <c r="B12" s="2" t="n"/>
      <c r="C12" s="4" t="n"/>
      <c r="D12" s="4" t="n"/>
      <c r="E12" s="22">
        <f>C12+D12</f>
        <v/>
      </c>
      <c r="F12" s="19" t="n"/>
      <c r="G12" s="19" t="n"/>
      <c r="H12" s="19" t="n"/>
      <c r="I12" s="51" t="n"/>
      <c r="J12" s="51" t="n"/>
      <c r="K12" s="44" t="n"/>
      <c r="L12" s="28">
        <f>MIN($F$7:$F$14)/F12</f>
        <v/>
      </c>
      <c r="M12" s="26">
        <f>IF(ISNUMBER(SEARCH("PP",G12)),0,IF(ISNUMBER(SEARCH("30 dias",G12)),0.5,IF(ISNUMBER(SEARCH("60 dias",G12)),0.8,IF(ISNUMBER(SEARCH("90 dias",G12)),1))))</f>
        <v/>
      </c>
      <c r="N12" s="24">
        <f>IF(LEFT(H12,1)="6",0.5,IF(LEFT(H12,1)="1",0.7,IF(LEFT(H12,1)="2",0.9,1)))</f>
        <v/>
      </c>
      <c r="O12" s="24">
        <f>(IF(I12="Sim",1,0)+IF(J12="Sim",1,0))/2</f>
        <v/>
      </c>
      <c r="P12" s="30">
        <f>(L12+M12/100+N12)/3</f>
        <v/>
      </c>
      <c r="Q12" s="31">
        <f>MIN($E$7:$E$14)/E12</f>
        <v/>
      </c>
      <c r="R12" s="32">
        <f>((Q12*$E$5) + P12*($F$5+$G$5+$H$5+$I$5+$J$5))</f>
        <v/>
      </c>
    </row>
    <row r="13" ht="42" customHeight="1">
      <c r="B13" s="2" t="n"/>
      <c r="C13" s="4" t="n"/>
      <c r="D13" s="4" t="n"/>
      <c r="E13" s="22" t="n"/>
      <c r="F13" s="19" t="n"/>
      <c r="G13" s="19" t="n"/>
      <c r="H13" s="19" t="n"/>
      <c r="I13" s="4" t="n"/>
      <c r="J13" s="4" t="n"/>
      <c r="K13" s="44" t="n"/>
      <c r="L13" s="28" t="n"/>
      <c r="M13" s="26" t="n"/>
      <c r="N13" s="24" t="n"/>
      <c r="O13" s="24" t="n"/>
      <c r="P13" s="30" t="n"/>
      <c r="Q13" s="31" t="n"/>
      <c r="R13" s="32" t="n"/>
    </row>
    <row r="14" ht="42" customHeight="1" thickBot="1">
      <c r="B14" s="3" t="n"/>
      <c r="C14" s="7" t="n"/>
      <c r="D14" s="7" t="n"/>
      <c r="E14" s="23" t="n"/>
      <c r="F14" s="8" t="n"/>
      <c r="G14" s="8" t="n"/>
      <c r="H14" s="8" t="n"/>
      <c r="I14" s="7" t="n"/>
      <c r="J14" s="7" t="n"/>
      <c r="K14" s="45" t="n"/>
      <c r="L14" s="29" t="n"/>
      <c r="M14" s="27" t="n"/>
      <c r="N14" s="9" t="n"/>
      <c r="O14" s="9" t="n"/>
      <c r="P14" s="33" t="n"/>
      <c r="Q14" s="34" t="n"/>
      <c r="R14" s="35" t="n"/>
    </row>
  </sheetData>
  <mergeCells count="8">
    <mergeCell ref="L5:O5"/>
    <mergeCell ref="B5:B6"/>
    <mergeCell ref="B3:B4"/>
    <mergeCell ref="C3:R3"/>
    <mergeCell ref="C4:R4"/>
    <mergeCell ref="C5:C6"/>
    <mergeCell ref="K5:K6"/>
    <mergeCell ref="D5:D6"/>
  </mergeCells>
  <conditionalFormatting sqref="E7:E14">
    <cfRule type="top10" rank="1" priority="9" dxfId="1" bottom="1"/>
    <cfRule type="expression" priority="10" dxfId="2">
      <formula>E7=MIN(#REF!)</formula>
    </cfRule>
  </conditionalFormatting>
  <conditionalFormatting sqref="I7:J14">
    <cfRule type="top10" rank="1" priority="7" dxfId="1" bottom="1"/>
    <cfRule type="expression" priority="8" dxfId="2">
      <formula>I7=MIN(#REF!)</formula>
    </cfRule>
  </conditionalFormatting>
  <conditionalFormatting sqref="R7:R14">
    <cfRule type="top10" rank="1" priority="3" dxfId="1"/>
    <cfRule type="expression" priority="6" dxfId="0">
      <formula>R7=MAX($R$7:$R$14)</formula>
    </cfRule>
  </conditionalFormatting>
  <printOptions verticalCentered="1"/>
  <pageMargins left="0.5511811023622047" right="0.5511811023622047" top="0.3937007874015748" bottom="0.984251968503937" header="0.5118110236220472" footer="0.5118110236220472"/>
  <pageSetup orientation="landscape" paperSize="9" scale="6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3:C57"/>
  <sheetViews>
    <sheetView topLeftCell="A30" workbookViewId="0">
      <selection activeCell="C47" sqref="C47"/>
    </sheetView>
  </sheetViews>
  <sheetFormatPr baseColWidth="8" defaultRowHeight="15"/>
  <cols>
    <col width="3.42578125" customWidth="1" min="1" max="1"/>
  </cols>
  <sheetData>
    <row r="3" customFormat="1" s="14">
      <c r="B3" s="18" t="inlineStr">
        <is>
          <t>RESUMO EXPLICATIVO – Análise Comparativa | Processo Não Recorrente</t>
        </is>
      </c>
    </row>
    <row r="4" customFormat="1" s="14">
      <c r="B4" s="15" t="n"/>
    </row>
    <row r="5" customFormat="1" s="14">
      <c r="B5" s="15" t="n"/>
    </row>
    <row r="6" ht="15.75" customFormat="1" customHeight="1" s="14">
      <c r="B6" s="21" t="inlineStr">
        <is>
          <t>✅ 1. Estrutura Geral | Pontos de avaliação</t>
        </is>
      </c>
    </row>
    <row r="7" customFormat="1" s="14">
      <c r="B7" s="15" t="n"/>
    </row>
    <row r="8" customFormat="1" s="14">
      <c r="B8" s="17" t="inlineStr">
        <is>
          <t>Preço</t>
        </is>
      </c>
    </row>
    <row r="9" customFormat="1" s="14">
      <c r="B9" s="17" t="inlineStr">
        <is>
          <t>Prazo de entrega</t>
        </is>
      </c>
    </row>
    <row r="10" customFormat="1" s="14">
      <c r="B10" s="17" t="inlineStr">
        <is>
          <t>Condições de pagamento</t>
        </is>
      </c>
    </row>
    <row r="11" customFormat="1" s="14">
      <c r="B11" s="17" t="inlineStr">
        <is>
          <t>Garantia</t>
        </is>
      </c>
    </row>
    <row r="12" customFormat="1" s="14">
      <c r="B12" s="17" t="inlineStr">
        <is>
          <t>Custos de transporte</t>
        </is>
      </c>
    </row>
    <row r="13" customFormat="1" s="14">
      <c r="B13" s="17" t="inlineStr">
        <is>
          <t>Certificação do produto</t>
        </is>
      </c>
    </row>
    <row r="14" customFormat="1" s="14">
      <c r="B14" s="17" t="inlineStr">
        <is>
          <t>Certificação da empresa</t>
        </is>
      </c>
    </row>
    <row r="15" customFormat="1" s="14">
      <c r="B15" s="17" t="inlineStr">
        <is>
          <t>Validade da proposta</t>
        </is>
      </c>
    </row>
    <row r="16" customFormat="1" s="14">
      <c r="B16" s="17" t="inlineStr">
        <is>
          <t>Pontuação ponderada por critério</t>
        </is>
      </c>
    </row>
    <row r="17" customFormat="1" s="14">
      <c r="B17" s="15" t="n"/>
    </row>
    <row r="18" customFormat="1" s="14">
      <c r="B18" s="15" t="n"/>
    </row>
    <row r="19" ht="15.75" customFormat="1" customHeight="1" s="14">
      <c r="B19" s="21" t="inlineStr">
        <is>
          <t>✅ 2. Critérios Avaliados</t>
        </is>
      </c>
    </row>
    <row r="20" customFormat="1" s="14">
      <c r="B20" s="15" t="n"/>
    </row>
    <row r="21" customFormat="1" s="14">
      <c r="B21" s="36" t="inlineStr">
        <is>
          <t>Preço Total</t>
        </is>
      </c>
    </row>
    <row r="22" customFormat="1" s="14">
      <c r="B22" s="15" t="inlineStr">
        <is>
          <t>Corresponde ao custo final incluindo transporte.</t>
        </is>
      </c>
    </row>
    <row r="23" customFormat="1" s="14">
      <c r="B23" s="15" t="inlineStr">
        <is>
          <t>O preço afeta a Pontuação Preço, onde o mais barato recebe a maior pontuação</t>
        </is>
      </c>
    </row>
    <row r="24" customFormat="1" s="14">
      <c r="B24" s="15" t="inlineStr">
        <is>
          <t>Este critério tem o peso de 90%</t>
        </is>
      </c>
    </row>
    <row r="25" customFormat="1" s="14">
      <c r="B25" s="15" t="n"/>
    </row>
    <row r="26" customFormat="1" s="14">
      <c r="B26" s="36" t="inlineStr">
        <is>
          <t>Prazo de Entrega</t>
        </is>
      </c>
    </row>
    <row r="27" customFormat="1" s="14">
      <c r="B27" s="15" t="inlineStr">
        <is>
          <t>Número de dias previstos para entrega.</t>
        </is>
      </c>
    </row>
    <row r="28" customFormat="1" s="14">
      <c r="B28" s="15" t="inlineStr">
        <is>
          <t>O prazo de entrega com menor tempo tem melhor pontuação</t>
        </is>
      </c>
    </row>
    <row r="29" customFormat="1" s="14"/>
    <row r="30" customFormat="1" s="14">
      <c r="B30" s="36" t="inlineStr">
        <is>
          <t>Condições de Pagamento</t>
        </is>
      </c>
    </row>
    <row r="31" customFormat="1" s="14">
      <c r="B31" s="15" t="inlineStr">
        <is>
          <t>PP</t>
        </is>
      </c>
      <c r="C31" s="20" t="n">
        <v>0</v>
      </c>
    </row>
    <row r="32" customFormat="1" s="14">
      <c r="B32" s="15" t="inlineStr">
        <is>
          <t>30 dias</t>
        </is>
      </c>
      <c r="C32" s="20" t="n">
        <v>0.5</v>
      </c>
    </row>
    <row r="33" customFormat="1" s="14">
      <c r="B33" s="15" t="inlineStr">
        <is>
          <t>60 dias</t>
        </is>
      </c>
      <c r="C33" s="20" t="n">
        <v>0.8</v>
      </c>
    </row>
    <row r="34" customFormat="1" s="14">
      <c r="B34" s="15" t="inlineStr">
        <is>
          <t>90 dias</t>
        </is>
      </c>
      <c r="C34" s="20" t="n">
        <v>1</v>
      </c>
    </row>
    <row r="35" customFormat="1" s="14">
      <c r="B35" s="15" t="n"/>
      <c r="C35" s="20" t="n"/>
    </row>
    <row r="36" customFormat="1" s="14">
      <c r="B36" s="36" t="inlineStr">
        <is>
          <t>Garantia</t>
        </is>
      </c>
    </row>
    <row r="37" customFormat="1" s="14">
      <c r="B37" s="15" t="inlineStr">
        <is>
          <t>6 meses</t>
        </is>
      </c>
      <c r="C37" s="20" t="n">
        <v>0.5</v>
      </c>
    </row>
    <row r="38" customFormat="1" s="14">
      <c r="B38" s="15" t="inlineStr">
        <is>
          <t>1 ano</t>
        </is>
      </c>
      <c r="C38" s="20" t="n">
        <v>0.7</v>
      </c>
    </row>
    <row r="39" customFormat="1" s="14">
      <c r="B39" s="15" t="inlineStr">
        <is>
          <t>2 anos</t>
        </is>
      </c>
      <c r="C39" s="20" t="n">
        <v>0.9</v>
      </c>
    </row>
    <row r="40" customFormat="1" s="14">
      <c r="B40" s="15" t="inlineStr">
        <is>
          <t>3 anos</t>
        </is>
      </c>
      <c r="C40" s="20" t="n">
        <v>1</v>
      </c>
    </row>
    <row r="41" customFormat="1" s="14">
      <c r="B41" s="15" t="n"/>
    </row>
    <row r="42" customFormat="1" s="14">
      <c r="B42" s="18" t="inlineStr">
        <is>
          <t>Outras Condições (Prazo de Entrega / Condições de Pagamento / Garantia)</t>
        </is>
      </c>
    </row>
    <row r="43" customFormat="1" s="14">
      <c r="B43" s="15" t="inlineStr">
        <is>
          <t>Os critérios Prazo de entrega / Condições de pagamento / garantia têm o peso de 10%</t>
        </is>
      </c>
    </row>
    <row r="44" customFormat="1" s="14"/>
    <row r="45" customFormat="1" s="14">
      <c r="B45" s="18" t="inlineStr">
        <is>
          <t>Certificações</t>
        </is>
      </c>
    </row>
    <row r="46" customFormat="1" s="14">
      <c r="B46" s="15" t="inlineStr">
        <is>
          <t>Certificação do produto</t>
        </is>
      </c>
    </row>
    <row r="47" customFormat="1" s="14">
      <c r="B47" s="15" t="inlineStr">
        <is>
          <t>Sim</t>
        </is>
      </c>
      <c r="C47" s="20" t="n">
        <v>1</v>
      </c>
    </row>
    <row r="48" customFormat="1" s="14">
      <c r="B48" s="15" t="inlineStr">
        <is>
          <t>Não</t>
        </is>
      </c>
      <c r="C48" s="20" t="n">
        <v>0</v>
      </c>
    </row>
    <row r="49" customFormat="1" s="14">
      <c r="B49" s="15" t="n"/>
    </row>
    <row r="50" customFormat="1" s="14">
      <c r="B50" s="15" t="inlineStr">
        <is>
          <t>Certificação da empresa</t>
        </is>
      </c>
    </row>
    <row r="51" customFormat="1" s="14">
      <c r="B51" s="15" t="inlineStr">
        <is>
          <t>Sim</t>
        </is>
      </c>
      <c r="C51" s="20" t="n">
        <v>1</v>
      </c>
    </row>
    <row r="52" customFormat="1" s="14">
      <c r="B52" s="15" t="inlineStr">
        <is>
          <t>Não</t>
        </is>
      </c>
      <c r="C52" s="20" t="n">
        <v>0</v>
      </c>
    </row>
    <row r="53" customFormat="1" s="14">
      <c r="B53" s="15" t="n"/>
    </row>
    <row r="54" ht="15.75" customFormat="1" customHeight="1" s="14">
      <c r="B54" s="21" t="inlineStr">
        <is>
          <t>✅ 3. Pontuações e Score Final</t>
        </is>
      </c>
    </row>
    <row r="55" customFormat="1" s="14">
      <c r="B55" s="15" t="inlineStr">
        <is>
          <t>Calcula a pontuação do preço total (90%) + Outras Condições (10%)</t>
        </is>
      </c>
    </row>
    <row r="56" customFormat="1" s="14">
      <c r="B56" s="16" t="n"/>
    </row>
    <row r="57" customFormat="1" s="14">
      <c r="B57" s="15" t="n"/>
    </row>
    <row r="58" customFormat="1" s="14"/>
    <row r="59" customFormat="1" s="14"/>
    <row r="60" customFormat="1" s="14"/>
    <row r="61" customFormat="1" s="14"/>
    <row r="62" customFormat="1" s="14"/>
    <row r="63" customFormat="1" s="14"/>
    <row r="64" customFormat="1" s="14"/>
    <row r="65" customFormat="1" s="14"/>
    <row r="66" customFormat="1" s="14"/>
    <row r="67" customFormat="1" s="14"/>
    <row r="68" customFormat="1" s="14"/>
    <row r="69" customFormat="1" s="14"/>
    <row r="70" customFormat="1" s="14"/>
    <row r="71" customFormat="1" s="14"/>
    <row r="72" customFormat="1" s="14"/>
    <row r="73" customFormat="1" s="14"/>
    <row r="74" customFormat="1" s="14"/>
    <row r="75" customFormat="1" s="14"/>
    <row r="76" customFormat="1" s="14"/>
    <row r="77" customFormat="1" s="14"/>
    <row r="78" customFormat="1" s="14"/>
    <row r="79" customFormat="1" s="14"/>
    <row r="80" customFormat="1" s="14"/>
    <row r="81" customFormat="1" s="14"/>
    <row r="82" customFormat="1" s="14"/>
    <row r="83" customFormat="1" s="14"/>
    <row r="84" customFormat="1" s="14"/>
    <row r="85" customFormat="1" s="14"/>
    <row r="86" customFormat="1" s="14"/>
    <row r="87" customFormat="1" s="14"/>
    <row r="88" customFormat="1" s="14"/>
    <row r="89" customFormat="1" s="14"/>
    <row r="90" customFormat="1" s="14"/>
    <row r="91" customFormat="1" s="14"/>
    <row r="92" customFormat="1" s="14"/>
    <row r="93" customFormat="1" s="14"/>
    <row r="94" customFormat="1" s="14"/>
    <row r="95" customFormat="1" s="14"/>
    <row r="96" customFormat="1" s="14"/>
    <row r="97" customFormat="1" s="14"/>
    <row r="98" customFormat="1" s="14"/>
    <row r="99" customFormat="1" s="14"/>
    <row r="100" customFormat="1" s="14"/>
    <row r="101" customFormat="1" s="14"/>
    <row r="102" customFormat="1" s="14"/>
    <row r="103" customFormat="1" s="14"/>
    <row r="104" customFormat="1" s="14"/>
    <row r="105" customFormat="1" s="14"/>
    <row r="106" customFormat="1" s="14"/>
    <row r="107" customFormat="1" s="14"/>
    <row r="108" customFormat="1" s="14"/>
    <row r="109" customFormat="1" s="14"/>
    <row r="110" customFormat="1" s="14"/>
    <row r="111" customFormat="1" s="14"/>
    <row r="112" customFormat="1" s="14"/>
    <row r="113" customFormat="1" s="14"/>
    <row r="114" customFormat="1" s="14"/>
    <row r="115" customFormat="1" s="14"/>
    <row r="116" customFormat="1" s="14"/>
    <row r="117" customFormat="1" s="14"/>
    <row r="118" customFormat="1" s="14"/>
    <row r="119" customFormat="1" s="14"/>
    <row r="120" customFormat="1" s="14"/>
    <row r="121" customFormat="1" s="14"/>
    <row r="122" customFormat="1" s="14"/>
    <row r="123" customFormat="1" s="14"/>
    <row r="124" customFormat="1" s="14"/>
    <row r="125" customFormat="1" s="14"/>
    <row r="126" customFormat="1" s="14"/>
    <row r="127" customFormat="1" s="14"/>
    <row r="128" customFormat="1" s="14"/>
    <row r="129" customFormat="1" s="14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2026-04-10T15:23:43Z</dcterms:created>
  <dcterms:modified xsi:type="dcterms:W3CDTF">2026-05-26T16:41:30Z</dcterms:modified>
  <cp:lastModifiedBy>Daniel Oliveira</cp:lastModifiedBy>
</cp:coreProperties>
</file>